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thuielCorrea\Desktop\"/>
    </mc:Choice>
  </mc:AlternateContent>
  <xr:revisionPtr revIDLastSave="0" documentId="13_ncr:1_{09987598-0545-412E-8544-814845D6AC43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Regras" sheetId="1" r:id="rId1"/>
    <sheet name="Paleta de Cores" sheetId="2" r:id="rId2"/>
  </sheets>
  <definedNames>
    <definedName name="_xlnm._FilterDatabase" localSheetId="0" hidden="1">Regras!$A$2:$K$31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6" i="1"/>
  <c r="I7" i="1"/>
  <c r="I8" i="1"/>
  <c r="I9" i="1"/>
  <c r="J3" i="1"/>
  <c r="I4" i="1"/>
  <c r="J4" i="1"/>
  <c r="K4" i="1"/>
  <c r="I6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20" i="1"/>
  <c r="J20" i="1"/>
  <c r="K20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K5" i="1" l="1"/>
  <c r="J5" i="1"/>
  <c r="K9" i="1"/>
  <c r="J9" i="1"/>
  <c r="K8" i="1"/>
  <c r="J8" i="1"/>
  <c r="K7" i="1"/>
  <c r="J7" i="1"/>
  <c r="K6" i="1"/>
  <c r="H6" i="1" s="1"/>
  <c r="I22" i="1"/>
  <c r="J22" i="1"/>
  <c r="K22" i="1"/>
  <c r="I23" i="1"/>
  <c r="J23" i="1"/>
  <c r="K23" i="1"/>
  <c r="K19" i="1"/>
  <c r="I19" i="1"/>
  <c r="J19" i="1"/>
  <c r="I21" i="1"/>
  <c r="K21" i="1"/>
  <c r="J21" i="1"/>
  <c r="H21" i="1" s="1"/>
  <c r="I24" i="1"/>
  <c r="J24" i="1"/>
  <c r="K24" i="1"/>
  <c r="I3" i="1"/>
  <c r="K3" i="1"/>
  <c r="H4" i="1"/>
  <c r="H31" i="1"/>
  <c r="H10" i="1"/>
  <c r="H25" i="1"/>
  <c r="H15" i="1"/>
  <c r="H14" i="1"/>
  <c r="H13" i="1"/>
  <c r="H16" i="1"/>
  <c r="H28" i="1"/>
  <c r="H20" i="1"/>
  <c r="H12" i="1"/>
  <c r="H17" i="1"/>
  <c r="H27" i="1"/>
  <c r="H30" i="1"/>
  <c r="H29" i="1"/>
  <c r="H8" i="1"/>
  <c r="H26" i="1"/>
  <c r="H18" i="1"/>
  <c r="H11" i="1"/>
  <c r="H9" i="1" l="1"/>
  <c r="H5" i="1"/>
  <c r="H7" i="1"/>
  <c r="H24" i="1"/>
  <c r="H3" i="1"/>
  <c r="H19" i="1"/>
  <c r="H22" i="1"/>
  <c r="H23" i="1"/>
</calcChain>
</file>

<file path=xl/sharedStrings.xml><?xml version="1.0" encoding="utf-8"?>
<sst xmlns="http://schemas.openxmlformats.org/spreadsheetml/2006/main" count="227" uniqueCount="94">
  <si>
    <t>NAVISWORKS – APPEARANCE PROFILER / SETS RULE TEMPLATE</t>
  </si>
  <si>
    <t>SET NAME (n)</t>
  </si>
  <si>
    <t>CWP</t>
  </si>
  <si>
    <t>GRUPO DE SETS</t>
  </si>
  <si>
    <t>IWP / SET ITEM</t>
  </si>
  <si>
    <t>TRANSPARÊNCIA
(0-100)</t>
  </si>
  <si>
    <t>OCULTO</t>
  </si>
  <si>
    <t>STATUS / LABEL</t>
  </si>
  <si>
    <t>COR (NOME)</t>
  </si>
  <si>
    <t>R</t>
  </si>
  <si>
    <t>G</t>
  </si>
  <si>
    <t>B</t>
  </si>
  <si>
    <t>PREVIEW</t>
  </si>
  <si>
    <t>FALSE</t>
  </si>
  <si>
    <t>NOME</t>
  </si>
  <si>
    <t>HEX</t>
  </si>
  <si>
    <t>Uso típico</t>
  </si>
  <si>
    <t>007E7A</t>
  </si>
  <si>
    <t>Green (Em Execução)</t>
  </si>
  <si>
    <t>00FF40</t>
  </si>
  <si>
    <t>Red (Pendente)</t>
  </si>
  <si>
    <t>FF0000</t>
  </si>
  <si>
    <t>Pendente/Bloqueado</t>
  </si>
  <si>
    <t>Orange (Alerta)</t>
  </si>
  <si>
    <t>FFA500</t>
  </si>
  <si>
    <t>Blue (Planejado)</t>
  </si>
  <si>
    <t>0070C0</t>
  </si>
  <si>
    <t>Yellow (Atenção)</t>
  </si>
  <si>
    <t>FFFF00</t>
  </si>
  <si>
    <t>Purple</t>
  </si>
  <si>
    <t>7030A0</t>
  </si>
  <si>
    <t>Gray (Inativo)</t>
  </si>
  <si>
    <t>808080</t>
  </si>
  <si>
    <t>White</t>
  </si>
  <si>
    <t>FFFFFF</t>
  </si>
  <si>
    <t>Black</t>
  </si>
  <si>
    <t>000000</t>
  </si>
  <si>
    <t>Cyan</t>
  </si>
  <si>
    <t>00B0F0</t>
  </si>
  <si>
    <t>Lime</t>
  </si>
  <si>
    <t>5CE600</t>
  </si>
  <si>
    <t>Pink</t>
  </si>
  <si>
    <t>FF6699</t>
  </si>
  <si>
    <t>Em Acabamento</t>
  </si>
  <si>
    <t>Em Pré-Montagem</t>
  </si>
  <si>
    <t>Em revisão</t>
  </si>
  <si>
    <t>Em Montagem</t>
  </si>
  <si>
    <t>Teal (Montado)</t>
  </si>
  <si>
    <t>Montagem Concluída</t>
  </si>
  <si>
    <t>Não iniciado</t>
  </si>
  <si>
    <t>Pré-Montagem Concluída</t>
  </si>
  <si>
    <t>KS-N103101-221-M-MT-CWP-004-IWP-001</t>
  </si>
  <si>
    <t>KS-N103101-221-M-MT-CWP-004</t>
  </si>
  <si>
    <t>IWP</t>
  </si>
  <si>
    <t>KS-N103101-221-M-MT-CWP-004-IWP-002</t>
  </si>
  <si>
    <t>KS-N103101-221-M-MT-CWP-032-IWP-001</t>
  </si>
  <si>
    <t>KS-N103101-221-M-MT-CWP-032</t>
  </si>
  <si>
    <t>KS-N103101-221-M-MT-CWP-032-IWP-002</t>
  </si>
  <si>
    <t>KS-N103101-221-M-MT-CWP-046-IWP-001</t>
  </si>
  <si>
    <t>KS-N103101-221-M-MT-CWP-046</t>
  </si>
  <si>
    <t>KS-N103101-221-M-MT-CWP-046-IWP-002</t>
  </si>
  <si>
    <t>KS-N103101-221-M-MT-CWP-058-IWP-001</t>
  </si>
  <si>
    <t>KS-N103101-221-M-MT-CWP-058</t>
  </si>
  <si>
    <t>KS-N103101-221-M-MT-CWP-058-IWP-002</t>
  </si>
  <si>
    <t>KS-N103101-221-M-MT-CWP-049-IWP-001</t>
  </si>
  <si>
    <t>KS-N103101-221-M-MT-CWP-049</t>
  </si>
  <si>
    <t>KS-N103101-221-M-MT-CWP-049-IWP-002</t>
  </si>
  <si>
    <t>KS-N103101-221-M-MT-CWP-049-IWP-003</t>
  </si>
  <si>
    <t>KS-N103101-221-M-MT-CWP-037-IWP-001</t>
  </si>
  <si>
    <t>KS-N103101-221-M-MT-CWP-037</t>
  </si>
  <si>
    <t>KS-N103101-221-M-MT-CWP-037-IWP-002</t>
  </si>
  <si>
    <t>KS-N103101-221-M-MT-CWP-037-IWP-003</t>
  </si>
  <si>
    <t>KS-N103101-221-M-MT-CWP-023-IWP-001</t>
  </si>
  <si>
    <t>KS-N103101-221-M-MT-CWP-023</t>
  </si>
  <si>
    <t>KS-N103101-221-M-MT-CWP-023-IWP-002</t>
  </si>
  <si>
    <t>KS-N103101-221-M-MT-CWP-023-IWP-003</t>
  </si>
  <si>
    <t>KS-N103101-221-M-MT-CWP-006-IWP-001</t>
  </si>
  <si>
    <t>KS-N103101-221-M-MT-CWP-006</t>
  </si>
  <si>
    <t>KS-N103101-221-M-MT-CWP-006-IWP-002</t>
  </si>
  <si>
    <t>KS-N103101-221-M-MT-CWP-006-IWP-003</t>
  </si>
  <si>
    <t>KS-N103101-221-M-MT-CWP-021-IWP-001</t>
  </si>
  <si>
    <t>KS-N103101-221-M-MT-CWP-021</t>
  </si>
  <si>
    <t>KS-N103101-221-M-MT-CWP-021-IWP-002</t>
  </si>
  <si>
    <t>KS-N103101-221-M-MT-CWP-025-IWP-001</t>
  </si>
  <si>
    <t>KS-N103101-221-M-MT-CWP-025</t>
  </si>
  <si>
    <t>KS-N103101-221-M-MT-CWP-025-IWP-002</t>
  </si>
  <si>
    <t>KS-N103101-221-M-MT-CWP-039-IWP-001</t>
  </si>
  <si>
    <t>KS-N103101-221-M-MT-CWP-039</t>
  </si>
  <si>
    <t>KS-N103101-221-M-MT-CWP-039-IWP-002</t>
  </si>
  <si>
    <t>KS-N103101-221-M-MT-CWP-051-IWP-001</t>
  </si>
  <si>
    <t>KS-N103101-221-M-MT-CWP-051</t>
  </si>
  <si>
    <t>KS-N103101-221-M-MT-CWP-051-IWP-002</t>
  </si>
  <si>
    <t>KS-N103101-221-M-MT-CWP-007-001a</t>
  </si>
  <si>
    <t>KS-N103101-221-M-MT-CWP-007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</si>
</sst>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FFFFFF"/>
      <name val="Arial"/>
    </font>
    <font>
      <b/>
      <u/>
      <sz val="10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8680A"/>
      </patternFill>
    </fill>
    <fill>
      <patternFill patternType="solid">
        <fgColor rgb="FFF2F2F2"/>
      </patternFill>
    </fill>
    <fill>
      <patternFill patternType="solid">
        <fgColor rgb="FF007E7A"/>
      </patternFill>
    </fill>
    <fill>
      <patternFill patternType="solid">
        <fgColor rgb="FFFFFFFF"/>
      </patternFill>
    </fill>
    <fill>
      <patternFill patternType="solid">
        <fgColor rgb="FF00FF40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/>
    </fill>
    <fill>
      <patternFill patternType="solid">
        <fgColor rgb="FF00B0F0"/>
      </patternFill>
    </fill>
    <fill>
      <patternFill patternType="solid">
        <fgColor rgb="FF5CE600"/>
      </patternFill>
    </fill>
    <fill>
      <patternFill patternType="solid">
        <fgColor rgb="FFFF6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/>
    <xf numFmtId="11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1" fontId="1" fillId="2" borderId="0" xfId="0" applyNumberFormat="1" applyFont="1" applyFill="1" applyAlignment="1">
      <alignment horizontal="center"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ySplit="2" topLeftCell="A3" activePane="bottomLeft" state="frozen"/>
      <selection pane="bottomLeft" activeCell="J3" sqref="J3"/>
    </sheetView>
  </sheetViews>
  <sheetFormatPr defaultRowHeight="15" x14ac:dyDescent="0.25"/>
  <cols>
    <col min="1" max="1" width="42.28515625" style="20" bestFit="1" customWidth="1"/>
    <col min="2" max="2" width="39.5703125" style="20" customWidth="1"/>
    <col min="3" max="3" width="24" style="20" customWidth="1"/>
    <col min="4" max="4" width="42.28515625" style="20" bestFit="1" customWidth="1"/>
    <col min="5" max="5" width="16" customWidth="1"/>
    <col min="6" max="6" width="10" customWidth="1"/>
    <col min="7" max="7" width="20" customWidth="1"/>
    <col min="8" max="8" width="18" customWidth="1"/>
    <col min="9" max="11" width="9" bestFit="1" customWidth="1"/>
    <col min="12" max="16384" width="9.140625" style="20"/>
  </cols>
  <sheetData>
    <row r="1" spans="1:11" ht="27.95" customHeight="1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33.950000000000003" customHeight="1" x14ac:dyDescent="0.25">
      <c r="A2" s="21" t="s">
        <v>1</v>
      </c>
      <c r="B2" s="21" t="s">
        <v>2</v>
      </c>
      <c r="C2" s="21" t="s">
        <v>3</v>
      </c>
      <c r="D2" s="21" t="s">
        <v>4</v>
      </c>
      <c r="E2" s="22" t="s">
        <v>5</v>
      </c>
      <c r="F2" s="22" t="s">
        <v>6</v>
      </c>
      <c r="G2" s="25" t="s">
        <v>7</v>
      </c>
      <c r="H2" s="22" t="s">
        <v>8</v>
      </c>
      <c r="I2" s="22" t="s">
        <v>9</v>
      </c>
      <c r="J2" s="22" t="s">
        <v>10</v>
      </c>
      <c r="K2" s="22" t="s">
        <v>11</v>
      </c>
    </row>
    <row r="3" spans="1:11" ht="15" customHeight="1" x14ac:dyDescent="0.25">
      <c r="A3" s="20" t="s">
        <v>51</v>
      </c>
      <c r="B3" s="20" t="s">
        <v>52</v>
      </c>
      <c r="C3" s="20" t="s">
        <v>53</v>
      </c>
      <c r="D3" s="20" t="s">
        <v>51</v>
      </c>
      <c r="E3" s="23">
        <v>0</v>
      </c>
      <c r="F3" s="23" t="s">
        <v>13</v>
      </c>
      <c r="G3" s="4" t="s">
        <v>48</v>
      </c>
      <c r="H3" s="23" t="str">
        <f>"RGB("&amp;I3&amp;","&amp;J3&amp;","&amp;K3&amp;")"</f>
        <v>RGB(0,126,122)</v>
      </c>
      <c r="I3" s="4">
        <f>_xlfn.XLOOKUP($G3,'Paleta de Cores'!$G:$G,'Paleta de Cores'!B:B,"")</f>
        <v>0</v>
      </c>
      <c r="J3" s="4">
        <f>_xlfn.XLOOKUP($G3,'Paleta de Cores'!$G:$G,'Paleta de Cores'!C:C,"")</f>
        <v>126</v>
      </c>
      <c r="K3" s="4">
        <f>_xlfn.XLOOKUP($G3,'Paleta de Cores'!$G:$G,'Paleta de Cores'!D:D,"")</f>
        <v>122</v>
      </c>
    </row>
    <row r="4" spans="1:11" ht="15" customHeight="1" x14ac:dyDescent="0.25">
      <c r="A4" s="20" t="s">
        <v>54</v>
      </c>
      <c r="B4" s="20" t="s">
        <v>52</v>
      </c>
      <c r="C4" s="20" t="s">
        <v>53</v>
      </c>
      <c r="D4" s="20" t="s">
        <v>54</v>
      </c>
      <c r="E4" s="24">
        <v>0</v>
      </c>
      <c r="F4" s="24" t="s">
        <v>13</v>
      </c>
      <c r="G4" s="4" t="s">
        <v>48</v>
      </c>
      <c r="H4" s="23" t="str">
        <f t="shared" ref="H4:H31" si="0">"RGB("&amp;I4&amp;","&amp;J4&amp;","&amp;K4&amp;")"</f>
        <v>RGB(0,126,122)</v>
      </c>
      <c r="I4" s="4">
        <f>_xlfn.XLOOKUP($G4,'Paleta de Cores'!$G:$G,'Paleta de Cores'!B:B,"")</f>
        <v>0</v>
      </c>
      <c r="J4" s="4">
        <f>_xlfn.XLOOKUP($G4,'Paleta de Cores'!$G:$G,'Paleta de Cores'!C:C,"")</f>
        <v>126</v>
      </c>
      <c r="K4" s="4">
        <f>_xlfn.XLOOKUP($G4,'Paleta de Cores'!$G:$G,'Paleta de Cores'!D:D,"")</f>
        <v>122</v>
      </c>
    </row>
    <row r="5" spans="1:11" ht="15" customHeight="1" x14ac:dyDescent="0.25">
      <c r="A5" s="20" t="s">
        <v>55</v>
      </c>
      <c r="B5" s="20" t="s">
        <v>56</v>
      </c>
      <c r="C5" s="20" t="s">
        <v>53</v>
      </c>
      <c r="D5" s="20" t="s">
        <v>55</v>
      </c>
      <c r="E5" s="23">
        <v>0</v>
      </c>
      <c r="F5" s="23" t="s">
        <v>13</v>
      </c>
      <c r="G5" s="4" t="s">
        <v>48</v>
      </c>
      <c r="H5" s="23" t="str">
        <f t="shared" si="0"/>
        <v>RGB(0,126,122)</v>
      </c>
      <c r="I5" s="4">
        <f>_xlfn.XLOOKUP($G5,'Paleta de Cores'!$G:$G,'Paleta de Cores'!B:B,"")</f>
        <v>0</v>
      </c>
      <c r="J5" s="4">
        <f>_xlfn.XLOOKUP($G5,'Paleta de Cores'!$G:$G,'Paleta de Cores'!C:C,"")</f>
        <v>126</v>
      </c>
      <c r="K5" s="4">
        <f>_xlfn.XLOOKUP($G5,'Paleta de Cores'!$G:$G,'Paleta de Cores'!D:D,"")</f>
        <v>122</v>
      </c>
    </row>
    <row r="6" spans="1:11" ht="15" customHeight="1" x14ac:dyDescent="0.25">
      <c r="A6" s="20" t="s">
        <v>57</v>
      </c>
      <c r="B6" s="20" t="s">
        <v>56</v>
      </c>
      <c r="C6" s="20" t="s">
        <v>53</v>
      </c>
      <c r="D6" s="20" t="s">
        <v>57</v>
      </c>
      <c r="E6" s="24">
        <v>0</v>
      </c>
      <c r="F6" s="24" t="s">
        <v>13</v>
      </c>
      <c r="G6" s="4" t="s">
        <v>48</v>
      </c>
      <c r="H6" s="23" t="str">
        <f t="shared" si="0"/>
        <v>RGB(0,126,122)</v>
      </c>
      <c r="I6" s="4">
        <f>_xlfn.XLOOKUP($G6,'Paleta de Cores'!$G:$G,'Paleta de Cores'!B:B,"")</f>
        <v>0</v>
      </c>
      <c r="J6" s="4">
        <f>_xlfn.XLOOKUP($G6,'Paleta de Cores'!$G:$G,'Paleta de Cores'!C:C,"")</f>
        <v>126</v>
      </c>
      <c r="K6" s="4">
        <f>_xlfn.XLOOKUP($G6,'Paleta de Cores'!$G:$G,'Paleta de Cores'!D:D,"")</f>
        <v>122</v>
      </c>
    </row>
    <row r="7" spans="1:11" ht="15" customHeight="1" x14ac:dyDescent="0.25">
      <c r="A7" s="20" t="s">
        <v>58</v>
      </c>
      <c r="B7" s="20" t="s">
        <v>59</v>
      </c>
      <c r="C7" s="20" t="s">
        <v>53</v>
      </c>
      <c r="D7" s="20" t="s">
        <v>58</v>
      </c>
      <c r="E7" s="23">
        <v>0</v>
      </c>
      <c r="F7" s="23" t="s">
        <v>13</v>
      </c>
      <c r="G7" s="4" t="s">
        <v>48</v>
      </c>
      <c r="H7" s="23" t="str">
        <f t="shared" si="0"/>
        <v>RGB(0,126,122)</v>
      </c>
      <c r="I7" s="4">
        <f>_xlfn.XLOOKUP($G7,'Paleta de Cores'!$G:$G,'Paleta de Cores'!B:B,"")</f>
        <v>0</v>
      </c>
      <c r="J7" s="4">
        <f>_xlfn.XLOOKUP($G7,'Paleta de Cores'!$G:$G,'Paleta de Cores'!C:C,"")</f>
        <v>126</v>
      </c>
      <c r="K7" s="4">
        <f>_xlfn.XLOOKUP($G7,'Paleta de Cores'!$G:$G,'Paleta de Cores'!D:D,"")</f>
        <v>122</v>
      </c>
    </row>
    <row r="8" spans="1:11" ht="15" customHeight="1" x14ac:dyDescent="0.25">
      <c r="A8" s="20" t="s">
        <v>60</v>
      </c>
      <c r="B8" s="20" t="s">
        <v>59</v>
      </c>
      <c r="C8" s="20" t="s">
        <v>53</v>
      </c>
      <c r="D8" s="20" t="s">
        <v>60</v>
      </c>
      <c r="E8" s="24">
        <v>0</v>
      </c>
      <c r="F8" s="24" t="s">
        <v>13</v>
      </c>
      <c r="G8" s="4" t="s">
        <v>48</v>
      </c>
      <c r="H8" s="23" t="str">
        <f t="shared" si="0"/>
        <v>RGB(0,126,122)</v>
      </c>
      <c r="I8" s="4">
        <f>_xlfn.XLOOKUP($G8,'Paleta de Cores'!$G:$G,'Paleta de Cores'!B:B,"")</f>
        <v>0</v>
      </c>
      <c r="J8" s="4">
        <f>_xlfn.XLOOKUP($G8,'Paleta de Cores'!$G:$G,'Paleta de Cores'!C:C,"")</f>
        <v>126</v>
      </c>
      <c r="K8" s="4">
        <f>_xlfn.XLOOKUP($G8,'Paleta de Cores'!$G:$G,'Paleta de Cores'!D:D,"")</f>
        <v>122</v>
      </c>
    </row>
    <row r="9" spans="1:11" ht="15" customHeight="1" x14ac:dyDescent="0.25">
      <c r="A9" s="20" t="s">
        <v>61</v>
      </c>
      <c r="B9" s="20" t="s">
        <v>62</v>
      </c>
      <c r="C9" s="20" t="s">
        <v>53</v>
      </c>
      <c r="D9" s="20" t="s">
        <v>61</v>
      </c>
      <c r="E9" s="23">
        <v>0</v>
      </c>
      <c r="F9" s="23" t="s">
        <v>13</v>
      </c>
      <c r="G9" s="4" t="s">
        <v>48</v>
      </c>
      <c r="H9" s="23" t="str">
        <f t="shared" si="0"/>
        <v>RGB(0,126,122)</v>
      </c>
      <c r="I9" s="4">
        <f>_xlfn.XLOOKUP($G9,'Paleta de Cores'!$G:$G,'Paleta de Cores'!B:B,"")</f>
        <v>0</v>
      </c>
      <c r="J9" s="4">
        <f>_xlfn.XLOOKUP($G9,'Paleta de Cores'!$G:$G,'Paleta de Cores'!C:C,"")</f>
        <v>126</v>
      </c>
      <c r="K9" s="4">
        <f>_xlfn.XLOOKUP($G9,'Paleta de Cores'!$G:$G,'Paleta de Cores'!D:D,"")</f>
        <v>122</v>
      </c>
    </row>
    <row r="10" spans="1:11" ht="15" customHeight="1" x14ac:dyDescent="0.25">
      <c r="A10" s="20" t="s">
        <v>63</v>
      </c>
      <c r="B10" s="20" t="s">
        <v>62</v>
      </c>
      <c r="C10" s="20" t="s">
        <v>53</v>
      </c>
      <c r="D10" s="20" t="s">
        <v>63</v>
      </c>
      <c r="E10" s="23">
        <v>0</v>
      </c>
      <c r="F10" s="24" t="s">
        <v>13</v>
      </c>
      <c r="G10" s="4" t="s">
        <v>48</v>
      </c>
      <c r="H10" s="23" t="str">
        <f t="shared" si="0"/>
        <v>RGB(0,126,122)</v>
      </c>
      <c r="I10" s="4">
        <f>_xlfn.XLOOKUP($G10,'Paleta de Cores'!$G:$G,'Paleta de Cores'!B:B,"")</f>
        <v>0</v>
      </c>
      <c r="J10" s="4">
        <f>_xlfn.XLOOKUP($G10,'Paleta de Cores'!$G:$G,'Paleta de Cores'!C:C,"")</f>
        <v>126</v>
      </c>
      <c r="K10" s="4">
        <f>_xlfn.XLOOKUP($G10,'Paleta de Cores'!$G:$G,'Paleta de Cores'!D:D,"")</f>
        <v>122</v>
      </c>
    </row>
    <row r="11" spans="1:11" ht="15" customHeight="1" x14ac:dyDescent="0.25">
      <c r="A11" s="20" t="s">
        <v>64</v>
      </c>
      <c r="B11" s="20" t="s">
        <v>65</v>
      </c>
      <c r="C11" s="20" t="s">
        <v>53</v>
      </c>
      <c r="D11" s="20" t="s">
        <v>64</v>
      </c>
      <c r="E11" s="23">
        <v>0</v>
      </c>
      <c r="F11" s="24" t="s">
        <v>13</v>
      </c>
      <c r="G11" s="4" t="s">
        <v>48</v>
      </c>
      <c r="H11" s="23" t="str">
        <f t="shared" si="0"/>
        <v>RGB(0,126,122)</v>
      </c>
      <c r="I11" s="4">
        <f>_xlfn.XLOOKUP($G11,'Paleta de Cores'!$G:$G,'Paleta de Cores'!B:B,"")</f>
        <v>0</v>
      </c>
      <c r="J11" s="4">
        <f>_xlfn.XLOOKUP($G11,'Paleta de Cores'!$G:$G,'Paleta de Cores'!C:C,"")</f>
        <v>126</v>
      </c>
      <c r="K11" s="4">
        <f>_xlfn.XLOOKUP($G11,'Paleta de Cores'!$G:$G,'Paleta de Cores'!D:D,"")</f>
        <v>122</v>
      </c>
    </row>
    <row r="12" spans="1:11" ht="15" customHeight="1" x14ac:dyDescent="0.25">
      <c r="A12" s="20" t="s">
        <v>66</v>
      </c>
      <c r="B12" s="20" t="s">
        <v>65</v>
      </c>
      <c r="C12" s="20" t="s">
        <v>53</v>
      </c>
      <c r="D12" s="20" t="s">
        <v>66</v>
      </c>
      <c r="E12" s="23">
        <v>0</v>
      </c>
      <c r="F12" s="24" t="s">
        <v>13</v>
      </c>
      <c r="G12" s="4" t="s">
        <v>48</v>
      </c>
      <c r="H12" s="23" t="str">
        <f t="shared" si="0"/>
        <v>RGB(0,126,122)</v>
      </c>
      <c r="I12" s="4">
        <f>_xlfn.XLOOKUP($G12,'Paleta de Cores'!$G:$G,'Paleta de Cores'!B:B,"")</f>
        <v>0</v>
      </c>
      <c r="J12" s="4">
        <f>_xlfn.XLOOKUP($G12,'Paleta de Cores'!$G:$G,'Paleta de Cores'!C:C,"")</f>
        <v>126</v>
      </c>
      <c r="K12" s="4">
        <f>_xlfn.XLOOKUP($G12,'Paleta de Cores'!$G:$G,'Paleta de Cores'!D:D,"")</f>
        <v>122</v>
      </c>
    </row>
    <row r="13" spans="1:11" ht="15" customHeight="1" x14ac:dyDescent="0.25">
      <c r="A13" s="20" t="s">
        <v>67</v>
      </c>
      <c r="B13" s="20" t="s">
        <v>65</v>
      </c>
      <c r="C13" s="20" t="s">
        <v>53</v>
      </c>
      <c r="D13" s="20" t="s">
        <v>67</v>
      </c>
      <c r="E13" s="23">
        <v>0</v>
      </c>
      <c r="F13" s="24" t="s">
        <v>13</v>
      </c>
      <c r="G13" s="4" t="s">
        <v>48</v>
      </c>
      <c r="H13" s="23" t="str">
        <f t="shared" si="0"/>
        <v>RGB(0,126,122)</v>
      </c>
      <c r="I13" s="4">
        <f>_xlfn.XLOOKUP($G13,'Paleta de Cores'!$G:$G,'Paleta de Cores'!B:B,"")</f>
        <v>0</v>
      </c>
      <c r="J13" s="4">
        <f>_xlfn.XLOOKUP($G13,'Paleta de Cores'!$G:$G,'Paleta de Cores'!C:C,"")</f>
        <v>126</v>
      </c>
      <c r="K13" s="4">
        <f>_xlfn.XLOOKUP($G13,'Paleta de Cores'!$G:$G,'Paleta de Cores'!D:D,"")</f>
        <v>122</v>
      </c>
    </row>
    <row r="14" spans="1:11" x14ac:dyDescent="0.25">
      <c r="A14" s="20" t="s">
        <v>68</v>
      </c>
      <c r="B14" s="20" t="s">
        <v>69</v>
      </c>
      <c r="C14" s="20" t="s">
        <v>53</v>
      </c>
      <c r="D14" s="20" t="s">
        <v>68</v>
      </c>
      <c r="E14" s="23">
        <v>0</v>
      </c>
      <c r="F14" s="24" t="s">
        <v>13</v>
      </c>
      <c r="G14" s="4" t="s">
        <v>48</v>
      </c>
      <c r="H14" s="23" t="str">
        <f t="shared" si="0"/>
        <v>RGB(0,126,122)</v>
      </c>
      <c r="I14" s="4">
        <f>_xlfn.XLOOKUP($G14,'Paleta de Cores'!$G:$G,'Paleta de Cores'!B:B,"")</f>
        <v>0</v>
      </c>
      <c r="J14" s="4">
        <f>_xlfn.XLOOKUP($G14,'Paleta de Cores'!$G:$G,'Paleta de Cores'!C:C,"")</f>
        <v>126</v>
      </c>
      <c r="K14" s="4">
        <f>_xlfn.XLOOKUP($G14,'Paleta de Cores'!$G:$G,'Paleta de Cores'!D:D,"")</f>
        <v>122</v>
      </c>
    </row>
    <row r="15" spans="1:11" x14ac:dyDescent="0.25">
      <c r="A15" s="20" t="s">
        <v>70</v>
      </c>
      <c r="B15" s="20" t="s">
        <v>69</v>
      </c>
      <c r="C15" s="20" t="s">
        <v>53</v>
      </c>
      <c r="D15" s="20" t="s">
        <v>70</v>
      </c>
      <c r="E15" s="23">
        <v>0</v>
      </c>
      <c r="F15" s="24" t="s">
        <v>13</v>
      </c>
      <c r="G15" s="4" t="s">
        <v>48</v>
      </c>
      <c r="H15" s="23" t="str">
        <f t="shared" si="0"/>
        <v>RGB(0,126,122)</v>
      </c>
      <c r="I15" s="4">
        <f>_xlfn.XLOOKUP($G15,'Paleta de Cores'!$G:$G,'Paleta de Cores'!B:B,"")</f>
        <v>0</v>
      </c>
      <c r="J15" s="4">
        <f>_xlfn.XLOOKUP($G15,'Paleta de Cores'!$G:$G,'Paleta de Cores'!C:C,"")</f>
        <v>126</v>
      </c>
      <c r="K15" s="4">
        <f>_xlfn.XLOOKUP($G15,'Paleta de Cores'!$G:$G,'Paleta de Cores'!D:D,"")</f>
        <v>122</v>
      </c>
    </row>
    <row r="16" spans="1:11" x14ac:dyDescent="0.25">
      <c r="A16" s="20" t="s">
        <v>71</v>
      </c>
      <c r="B16" s="20" t="s">
        <v>69</v>
      </c>
      <c r="C16" s="20" t="s">
        <v>53</v>
      </c>
      <c r="D16" s="20" t="s">
        <v>71</v>
      </c>
      <c r="E16" s="23">
        <v>0</v>
      </c>
      <c r="F16" s="24" t="s">
        <v>13</v>
      </c>
      <c r="G16" s="4" t="s">
        <v>48</v>
      </c>
      <c r="H16" s="23" t="str">
        <f t="shared" si="0"/>
        <v>RGB(0,126,122)</v>
      </c>
      <c r="I16" s="4">
        <f>_xlfn.XLOOKUP($G16,'Paleta de Cores'!$G:$G,'Paleta de Cores'!B:B,"")</f>
        <v>0</v>
      </c>
      <c r="J16" s="4">
        <f>_xlfn.XLOOKUP($G16,'Paleta de Cores'!$G:$G,'Paleta de Cores'!C:C,"")</f>
        <v>126</v>
      </c>
      <c r="K16" s="4">
        <f>_xlfn.XLOOKUP($G16,'Paleta de Cores'!$G:$G,'Paleta de Cores'!D:D,"")</f>
        <v>122</v>
      </c>
    </row>
    <row r="17" spans="1:11" x14ac:dyDescent="0.25">
      <c r="A17" s="20" t="s">
        <v>72</v>
      </c>
      <c r="B17" s="20" t="s">
        <v>73</v>
      </c>
      <c r="C17" s="20" t="s">
        <v>53</v>
      </c>
      <c r="D17" s="20" t="s">
        <v>72</v>
      </c>
      <c r="E17" s="23">
        <v>0</v>
      </c>
      <c r="F17" s="24" t="s">
        <v>13</v>
      </c>
      <c r="G17" s="4" t="s">
        <v>48</v>
      </c>
      <c r="H17" s="23" t="str">
        <f t="shared" si="0"/>
        <v>RGB(0,126,122)</v>
      </c>
      <c r="I17" s="4">
        <f>_xlfn.XLOOKUP($G17,'Paleta de Cores'!$G:$G,'Paleta de Cores'!B:B,"")</f>
        <v>0</v>
      </c>
      <c r="J17" s="4">
        <f>_xlfn.XLOOKUP($G17,'Paleta de Cores'!$G:$G,'Paleta de Cores'!C:C,"")</f>
        <v>126</v>
      </c>
      <c r="K17" s="4">
        <f>_xlfn.XLOOKUP($G17,'Paleta de Cores'!$G:$G,'Paleta de Cores'!D:D,"")</f>
        <v>122</v>
      </c>
    </row>
    <row r="18" spans="1:11" x14ac:dyDescent="0.25">
      <c r="A18" s="20" t="s">
        <v>74</v>
      </c>
      <c r="B18" s="20" t="s">
        <v>73</v>
      </c>
      <c r="C18" s="20" t="s">
        <v>53</v>
      </c>
      <c r="D18" s="20" t="s">
        <v>74</v>
      </c>
      <c r="E18" s="23">
        <v>0</v>
      </c>
      <c r="F18" s="24" t="s">
        <v>13</v>
      </c>
      <c r="G18" s="4" t="s">
        <v>48</v>
      </c>
      <c r="H18" s="23" t="str">
        <f t="shared" si="0"/>
        <v>RGB(0,126,122)</v>
      </c>
      <c r="I18" s="4">
        <f>_xlfn.XLOOKUP($G18,'Paleta de Cores'!$G:$G,'Paleta de Cores'!B:B,"")</f>
        <v>0</v>
      </c>
      <c r="J18" s="4">
        <f>_xlfn.XLOOKUP($G18,'Paleta de Cores'!$G:$G,'Paleta de Cores'!C:C,"")</f>
        <v>126</v>
      </c>
      <c r="K18" s="4">
        <f>_xlfn.XLOOKUP($G18,'Paleta de Cores'!$G:$G,'Paleta de Cores'!D:D,"")</f>
        <v>122</v>
      </c>
    </row>
    <row r="19" spans="1:11" x14ac:dyDescent="0.25">
      <c r="A19" s="20" t="s">
        <v>75</v>
      </c>
      <c r="B19" s="20" t="s">
        <v>73</v>
      </c>
      <c r="C19" s="20" t="s">
        <v>53</v>
      </c>
      <c r="D19" s="20" t="s">
        <v>75</v>
      </c>
      <c r="E19" s="23">
        <v>0</v>
      </c>
      <c r="F19" s="24" t="s">
        <v>13</v>
      </c>
      <c r="G19" s="4" t="s">
        <v>48</v>
      </c>
      <c r="H19" s="23" t="str">
        <f t="shared" si="0"/>
        <v>RGB(0,126,122)</v>
      </c>
      <c r="I19" s="4">
        <f>_xlfn.XLOOKUP($G19,'Paleta de Cores'!$G:$G,'Paleta de Cores'!B:B,"")</f>
        <v>0</v>
      </c>
      <c r="J19" s="4">
        <f>_xlfn.XLOOKUP($G19,'Paleta de Cores'!$G:$G,'Paleta de Cores'!C:C,"")</f>
        <v>126</v>
      </c>
      <c r="K19" s="4">
        <f>_xlfn.XLOOKUP($G19,'Paleta de Cores'!$G:$G,'Paleta de Cores'!D:D,"")</f>
        <v>122</v>
      </c>
    </row>
    <row r="20" spans="1:11" x14ac:dyDescent="0.25">
      <c r="A20" s="20" t="s">
        <v>76</v>
      </c>
      <c r="B20" s="20" t="s">
        <v>77</v>
      </c>
      <c r="C20" s="20" t="s">
        <v>53</v>
      </c>
      <c r="D20" s="20" t="s">
        <v>76</v>
      </c>
      <c r="E20" s="23">
        <v>0</v>
      </c>
      <c r="F20" s="24" t="s">
        <v>13</v>
      </c>
      <c r="G20" s="4" t="s">
        <v>48</v>
      </c>
      <c r="H20" s="23" t="str">
        <f t="shared" si="0"/>
        <v>RGB(0,126,122)</v>
      </c>
      <c r="I20" s="4">
        <f>_xlfn.XLOOKUP($G20,'Paleta de Cores'!$G:$G,'Paleta de Cores'!B:B,"")</f>
        <v>0</v>
      </c>
      <c r="J20" s="4">
        <f>_xlfn.XLOOKUP($G20,'Paleta de Cores'!$G:$G,'Paleta de Cores'!C:C,"")</f>
        <v>126</v>
      </c>
      <c r="K20" s="4">
        <f>_xlfn.XLOOKUP($G20,'Paleta de Cores'!$G:$G,'Paleta de Cores'!D:D,"")</f>
        <v>122</v>
      </c>
    </row>
    <row r="21" spans="1:11" x14ac:dyDescent="0.25">
      <c r="A21" s="20" t="s">
        <v>78</v>
      </c>
      <c r="B21" s="20" t="s">
        <v>77</v>
      </c>
      <c r="C21" s="20" t="s">
        <v>53</v>
      </c>
      <c r="D21" s="20" t="s">
        <v>78</v>
      </c>
      <c r="E21" s="23">
        <v>0</v>
      </c>
      <c r="F21" s="24" t="s">
        <v>13</v>
      </c>
      <c r="G21" s="4" t="s">
        <v>48</v>
      </c>
      <c r="H21" s="23" t="str">
        <f t="shared" si="0"/>
        <v>RGB(0,126,122)</v>
      </c>
      <c r="I21" s="4">
        <f>_xlfn.XLOOKUP($G21,'Paleta de Cores'!$G:$G,'Paleta de Cores'!B:B,"")</f>
        <v>0</v>
      </c>
      <c r="J21" s="4">
        <f>_xlfn.XLOOKUP($G21,'Paleta de Cores'!$G:$G,'Paleta de Cores'!C:C,"")</f>
        <v>126</v>
      </c>
      <c r="K21" s="4">
        <f>_xlfn.XLOOKUP($G21,'Paleta de Cores'!$G:$G,'Paleta de Cores'!D:D,"")</f>
        <v>122</v>
      </c>
    </row>
    <row r="22" spans="1:11" x14ac:dyDescent="0.25">
      <c r="A22" s="20" t="s">
        <v>79</v>
      </c>
      <c r="B22" s="20" t="s">
        <v>77</v>
      </c>
      <c r="C22" s="20" t="s">
        <v>53</v>
      </c>
      <c r="D22" s="20" t="s">
        <v>79</v>
      </c>
      <c r="E22" s="23">
        <v>0</v>
      </c>
      <c r="F22" s="24" t="s">
        <v>13</v>
      </c>
      <c r="G22" s="4" t="s">
        <v>48</v>
      </c>
      <c r="H22" s="23" t="str">
        <f t="shared" si="0"/>
        <v>RGB(0,126,122)</v>
      </c>
      <c r="I22" s="4">
        <f>_xlfn.XLOOKUP($G22,'Paleta de Cores'!$G:$G,'Paleta de Cores'!B:B,"")</f>
        <v>0</v>
      </c>
      <c r="J22" s="4">
        <f>_xlfn.XLOOKUP($G22,'Paleta de Cores'!$G:$G,'Paleta de Cores'!C:C,"")</f>
        <v>126</v>
      </c>
      <c r="K22" s="4">
        <f>_xlfn.XLOOKUP($G22,'Paleta de Cores'!$G:$G,'Paleta de Cores'!D:D,"")</f>
        <v>122</v>
      </c>
    </row>
    <row r="23" spans="1:11" x14ac:dyDescent="0.25">
      <c r="A23" s="20" t="s">
        <v>80</v>
      </c>
      <c r="B23" s="20" t="s">
        <v>81</v>
      </c>
      <c r="C23" s="20" t="s">
        <v>53</v>
      </c>
      <c r="D23" s="20" t="s">
        <v>80</v>
      </c>
      <c r="E23" s="23">
        <v>0</v>
      </c>
      <c r="F23" s="24" t="s">
        <v>13</v>
      </c>
      <c r="G23" s="4" t="s">
        <v>43</v>
      </c>
      <c r="H23" s="23" t="str">
        <f t="shared" si="0"/>
        <v>RGB(0,255,64)</v>
      </c>
      <c r="I23" s="4">
        <f>_xlfn.XLOOKUP($G23,'Paleta de Cores'!$G:$G,'Paleta de Cores'!B:B,"")</f>
        <v>0</v>
      </c>
      <c r="J23" s="4">
        <f>_xlfn.XLOOKUP($G23,'Paleta de Cores'!$G:$G,'Paleta de Cores'!C:C,"")</f>
        <v>255</v>
      </c>
      <c r="K23" s="4">
        <f>_xlfn.XLOOKUP($G23,'Paleta de Cores'!$G:$G,'Paleta de Cores'!D:D,"")</f>
        <v>64</v>
      </c>
    </row>
    <row r="24" spans="1:11" x14ac:dyDescent="0.25">
      <c r="A24" s="20" t="s">
        <v>82</v>
      </c>
      <c r="B24" s="20" t="s">
        <v>81</v>
      </c>
      <c r="C24" s="20" t="s">
        <v>53</v>
      </c>
      <c r="D24" s="20" t="s">
        <v>82</v>
      </c>
      <c r="E24" s="23">
        <v>0</v>
      </c>
      <c r="F24" s="24" t="s">
        <v>13</v>
      </c>
      <c r="G24" s="4" t="s">
        <v>43</v>
      </c>
      <c r="H24" s="23" t="str">
        <f t="shared" si="0"/>
        <v>RGB(0,255,64)</v>
      </c>
      <c r="I24" s="4">
        <f>_xlfn.XLOOKUP($G24,'Paleta de Cores'!$G:$G,'Paleta de Cores'!B:B,"")</f>
        <v>0</v>
      </c>
      <c r="J24" s="4">
        <f>_xlfn.XLOOKUP($G24,'Paleta de Cores'!$G:$G,'Paleta de Cores'!C:C,"")</f>
        <v>255</v>
      </c>
      <c r="K24" s="4">
        <f>_xlfn.XLOOKUP($G24,'Paleta de Cores'!$G:$G,'Paleta de Cores'!D:D,"")</f>
        <v>64</v>
      </c>
    </row>
    <row r="25" spans="1:11" x14ac:dyDescent="0.25">
      <c r="A25" s="20" t="s">
        <v>83</v>
      </c>
      <c r="B25" s="20" t="s">
        <v>84</v>
      </c>
      <c r="C25" s="20" t="s">
        <v>53</v>
      </c>
      <c r="D25" s="20" t="s">
        <v>83</v>
      </c>
      <c r="E25" s="23">
        <v>0</v>
      </c>
      <c r="F25" s="24" t="s">
        <v>13</v>
      </c>
      <c r="G25" s="4" t="s">
        <v>43</v>
      </c>
      <c r="H25" s="23" t="str">
        <f t="shared" si="0"/>
        <v>RGB(0,255,64)</v>
      </c>
      <c r="I25" s="4">
        <f>_xlfn.XLOOKUP($G25,'Paleta de Cores'!$G:$G,'Paleta de Cores'!B:B,"")</f>
        <v>0</v>
      </c>
      <c r="J25" s="4">
        <f>_xlfn.XLOOKUP($G25,'Paleta de Cores'!$G:$G,'Paleta de Cores'!C:C,"")</f>
        <v>255</v>
      </c>
      <c r="K25" s="4">
        <f>_xlfn.XLOOKUP($G25,'Paleta de Cores'!$G:$G,'Paleta de Cores'!D:D,"")</f>
        <v>64</v>
      </c>
    </row>
    <row r="26" spans="1:11" x14ac:dyDescent="0.25">
      <c r="A26" s="20" t="s">
        <v>85</v>
      </c>
      <c r="B26" s="20" t="s">
        <v>84</v>
      </c>
      <c r="C26" s="20" t="s">
        <v>53</v>
      </c>
      <c r="D26" s="20" t="s">
        <v>85</v>
      </c>
      <c r="E26" s="23">
        <v>0</v>
      </c>
      <c r="F26" s="24" t="s">
        <v>13</v>
      </c>
      <c r="G26" s="4" t="s">
        <v>43</v>
      </c>
      <c r="H26" s="23" t="str">
        <f t="shared" si="0"/>
        <v>RGB(0,255,64)</v>
      </c>
      <c r="I26" s="4">
        <f>_xlfn.XLOOKUP($G26,'Paleta de Cores'!$G:$G,'Paleta de Cores'!B:B,"")</f>
        <v>0</v>
      </c>
      <c r="J26" s="4">
        <f>_xlfn.XLOOKUP($G26,'Paleta de Cores'!$G:$G,'Paleta de Cores'!C:C,"")</f>
        <v>255</v>
      </c>
      <c r="K26" s="4">
        <f>_xlfn.XLOOKUP($G26,'Paleta de Cores'!$G:$G,'Paleta de Cores'!D:D,"")</f>
        <v>64</v>
      </c>
    </row>
    <row r="27" spans="1:11" x14ac:dyDescent="0.25">
      <c r="A27" s="20" t="s">
        <v>86</v>
      </c>
      <c r="B27" s="20" t="s">
        <v>87</v>
      </c>
      <c r="C27" s="20" t="s">
        <v>53</v>
      </c>
      <c r="D27" s="20" t="s">
        <v>86</v>
      </c>
      <c r="E27" s="23">
        <v>0</v>
      </c>
      <c r="F27" s="24" t="s">
        <v>13</v>
      </c>
      <c r="G27" s="4" t="s">
        <v>43</v>
      </c>
      <c r="H27" s="23" t="str">
        <f t="shared" si="0"/>
        <v>RGB(0,255,64)</v>
      </c>
      <c r="I27" s="4">
        <f>_xlfn.XLOOKUP($G27,'Paleta de Cores'!$G:$G,'Paleta de Cores'!B:B,"")</f>
        <v>0</v>
      </c>
      <c r="J27" s="4">
        <f>_xlfn.XLOOKUP($G27,'Paleta de Cores'!$G:$G,'Paleta de Cores'!C:C,"")</f>
        <v>255</v>
      </c>
      <c r="K27" s="4">
        <f>_xlfn.XLOOKUP($G27,'Paleta de Cores'!$G:$G,'Paleta de Cores'!D:D,"")</f>
        <v>64</v>
      </c>
    </row>
    <row r="28" spans="1:11" x14ac:dyDescent="0.25">
      <c r="A28" s="20" t="s">
        <v>88</v>
      </c>
      <c r="B28" s="20" t="s">
        <v>87</v>
      </c>
      <c r="C28" s="20" t="s">
        <v>53</v>
      </c>
      <c r="D28" s="20" t="s">
        <v>88</v>
      </c>
      <c r="E28" s="23">
        <v>0</v>
      </c>
      <c r="F28" s="24" t="s">
        <v>13</v>
      </c>
      <c r="G28" s="4" t="s">
        <v>43</v>
      </c>
      <c r="H28" s="23" t="str">
        <f t="shared" si="0"/>
        <v>RGB(0,255,64)</v>
      </c>
      <c r="I28" s="4">
        <f>_xlfn.XLOOKUP($G28,'Paleta de Cores'!$G:$G,'Paleta de Cores'!B:B,"")</f>
        <v>0</v>
      </c>
      <c r="J28" s="4">
        <f>_xlfn.XLOOKUP($G28,'Paleta de Cores'!$G:$G,'Paleta de Cores'!C:C,"")</f>
        <v>255</v>
      </c>
      <c r="K28" s="4">
        <f>_xlfn.XLOOKUP($G28,'Paleta de Cores'!$G:$G,'Paleta de Cores'!D:D,"")</f>
        <v>64</v>
      </c>
    </row>
    <row r="29" spans="1:11" x14ac:dyDescent="0.25">
      <c r="A29" s="20" t="s">
        <v>89</v>
      </c>
      <c r="B29" s="20" t="s">
        <v>90</v>
      </c>
      <c r="C29" s="20" t="s">
        <v>53</v>
      </c>
      <c r="D29" s="20" t="s">
        <v>89</v>
      </c>
      <c r="E29" s="23">
        <v>0</v>
      </c>
      <c r="F29" s="24" t="s">
        <v>13</v>
      </c>
      <c r="G29" s="4" t="s">
        <v>43</v>
      </c>
      <c r="H29" s="23" t="str">
        <f t="shared" si="0"/>
        <v>RGB(0,255,64)</v>
      </c>
      <c r="I29" s="4">
        <f>_xlfn.XLOOKUP($G29,'Paleta de Cores'!$G:$G,'Paleta de Cores'!B:B,"")</f>
        <v>0</v>
      </c>
      <c r="J29" s="4">
        <f>_xlfn.XLOOKUP($G29,'Paleta de Cores'!$G:$G,'Paleta de Cores'!C:C,"")</f>
        <v>255</v>
      </c>
      <c r="K29" s="4">
        <f>_xlfn.XLOOKUP($G29,'Paleta de Cores'!$G:$G,'Paleta de Cores'!D:D,"")</f>
        <v>64</v>
      </c>
    </row>
    <row r="30" spans="1:11" x14ac:dyDescent="0.25">
      <c r="A30" s="20" t="s">
        <v>91</v>
      </c>
      <c r="B30" s="20" t="s">
        <v>90</v>
      </c>
      <c r="C30" s="20" t="s">
        <v>53</v>
      </c>
      <c r="D30" s="20" t="s">
        <v>91</v>
      </c>
      <c r="E30" s="23">
        <v>0</v>
      </c>
      <c r="F30" s="24" t="s">
        <v>13</v>
      </c>
      <c r="G30" s="4" t="s">
        <v>43</v>
      </c>
      <c r="H30" s="23" t="str">
        <f t="shared" si="0"/>
        <v>RGB(0,255,64)</v>
      </c>
      <c r="I30" s="4">
        <f>_xlfn.XLOOKUP($G30,'Paleta de Cores'!$G:$G,'Paleta de Cores'!B:B,"")</f>
        <v>0</v>
      </c>
      <c r="J30" s="4">
        <f>_xlfn.XLOOKUP($G30,'Paleta de Cores'!$G:$G,'Paleta de Cores'!C:C,"")</f>
        <v>255</v>
      </c>
      <c r="K30" s="4">
        <f>_xlfn.XLOOKUP($G30,'Paleta de Cores'!$G:$G,'Paleta de Cores'!D:D,"")</f>
        <v>64</v>
      </c>
    </row>
    <row r="31" spans="1:11" x14ac:dyDescent="0.25">
      <c r="A31" s="20" t="s">
        <v>92</v>
      </c>
      <c r="B31" s="20" t="s">
        <v>93</v>
      </c>
      <c r="C31" s="20" t="s">
        <v>53</v>
      </c>
      <c r="D31" s="20" t="s">
        <v>92</v>
      </c>
      <c r="E31" s="23">
        <v>0</v>
      </c>
      <c r="F31" s="24" t="s">
        <v>13</v>
      </c>
      <c r="G31" s="4" t="s">
        <v>43</v>
      </c>
      <c r="H31" s="23" t="str">
        <f t="shared" si="0"/>
        <v>RGB(0,255,64)</v>
      </c>
      <c r="I31" s="4">
        <f>_xlfn.XLOOKUP($G31,'Paleta de Cores'!$G:$G,'Paleta de Cores'!B:B,"")</f>
        <v>0</v>
      </c>
      <c r="J31" s="4">
        <f>_xlfn.XLOOKUP($G31,'Paleta de Cores'!$G:$G,'Paleta de Cores'!C:C,"")</f>
        <v>255</v>
      </c>
      <c r="K31" s="4">
        <f>_xlfn.XLOOKUP($G31,'Paleta de Cores'!$G:$G,'Paleta de Cores'!D:D,"")</f>
        <v>64</v>
      </c>
    </row>
  </sheetData>
  <mergeCells count="1">
    <mergeCell ref="A1:K1"/>
  </mergeCells>
  <dataValidations count="1">
    <dataValidation type="list" sqref="F3:F31" xr:uid="{00000000-0002-0000-0000-000000000000}">
      <formula1>"TRUE,FALSE"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ySplit="1" topLeftCell="A2" activePane="bottomLeft" state="frozen"/>
      <selection pane="bottomLeft" activeCell="I23" sqref="I23"/>
    </sheetView>
  </sheetViews>
  <sheetFormatPr defaultRowHeight="15" x14ac:dyDescent="0.25"/>
  <cols>
    <col min="1" max="1" width="24" customWidth="1"/>
    <col min="2" max="4" width="7" customWidth="1"/>
    <col min="5" max="5" width="10" customWidth="1"/>
    <col min="6" max="6" width="14" customWidth="1"/>
    <col min="7" max="7" width="24" style="19" customWidth="1"/>
  </cols>
  <sheetData>
    <row r="1" spans="1:7" x14ac:dyDescent="0.25">
      <c r="A1" s="1" t="s">
        <v>14</v>
      </c>
      <c r="B1" s="1" t="s">
        <v>9</v>
      </c>
      <c r="C1" s="1" t="s">
        <v>10</v>
      </c>
      <c r="D1" s="1" t="s">
        <v>11</v>
      </c>
      <c r="E1" s="1" t="s">
        <v>15</v>
      </c>
      <c r="F1" s="1" t="s">
        <v>12</v>
      </c>
      <c r="G1" s="16" t="s">
        <v>16</v>
      </c>
    </row>
    <row r="2" spans="1:7" x14ac:dyDescent="0.25">
      <c r="A2" s="2" t="s">
        <v>47</v>
      </c>
      <c r="B2" s="2">
        <v>0</v>
      </c>
      <c r="C2" s="2">
        <v>126</v>
      </c>
      <c r="D2" s="2">
        <v>122</v>
      </c>
      <c r="E2" s="2" t="s">
        <v>17</v>
      </c>
      <c r="F2" s="3"/>
      <c r="G2" s="19" t="s">
        <v>48</v>
      </c>
    </row>
    <row r="3" spans="1:7" x14ac:dyDescent="0.25">
      <c r="A3" s="4" t="s">
        <v>18</v>
      </c>
      <c r="B3" s="4">
        <v>0</v>
      </c>
      <c r="C3" s="4">
        <v>255</v>
      </c>
      <c r="D3" s="4">
        <v>64</v>
      </c>
      <c r="E3" s="4" t="s">
        <v>19</v>
      </c>
      <c r="F3" s="5"/>
      <c r="G3" s="17" t="s">
        <v>43</v>
      </c>
    </row>
    <row r="4" spans="1:7" x14ac:dyDescent="0.25">
      <c r="A4" s="2" t="s">
        <v>20</v>
      </c>
      <c r="B4" s="2">
        <v>255</v>
      </c>
      <c r="C4" s="2">
        <v>0</v>
      </c>
      <c r="D4" s="2">
        <v>0</v>
      </c>
      <c r="E4" s="2" t="s">
        <v>21</v>
      </c>
      <c r="F4" s="6"/>
      <c r="G4" s="18" t="s">
        <v>22</v>
      </c>
    </row>
    <row r="5" spans="1:7" x14ac:dyDescent="0.25">
      <c r="A5" s="4" t="s">
        <v>23</v>
      </c>
      <c r="B5" s="4">
        <v>255</v>
      </c>
      <c r="C5" s="4">
        <v>165</v>
      </c>
      <c r="D5" s="4">
        <v>0</v>
      </c>
      <c r="E5" s="4" t="s">
        <v>24</v>
      </c>
      <c r="F5" s="7"/>
      <c r="G5" s="17" t="s">
        <v>45</v>
      </c>
    </row>
    <row r="6" spans="1:7" x14ac:dyDescent="0.25">
      <c r="A6" s="2" t="s">
        <v>25</v>
      </c>
      <c r="B6" s="2">
        <v>0</v>
      </c>
      <c r="C6" s="2">
        <v>112</v>
      </c>
      <c r="D6" s="2">
        <v>192</v>
      </c>
      <c r="E6" s="2" t="s">
        <v>26</v>
      </c>
      <c r="F6" s="8"/>
      <c r="G6" s="19" t="s">
        <v>50</v>
      </c>
    </row>
    <row r="7" spans="1:7" x14ac:dyDescent="0.25">
      <c r="A7" s="4" t="s">
        <v>27</v>
      </c>
      <c r="B7" s="4">
        <v>255</v>
      </c>
      <c r="C7" s="4">
        <v>255</v>
      </c>
      <c r="D7" s="4">
        <v>0</v>
      </c>
      <c r="E7" s="4" t="s">
        <v>28</v>
      </c>
      <c r="F7" s="9"/>
      <c r="G7" s="19" t="s">
        <v>46</v>
      </c>
    </row>
    <row r="8" spans="1:7" x14ac:dyDescent="0.25">
      <c r="A8" s="2" t="s">
        <v>29</v>
      </c>
      <c r="B8" s="2">
        <v>112</v>
      </c>
      <c r="C8" s="2">
        <v>48</v>
      </c>
      <c r="D8" s="2">
        <v>160</v>
      </c>
      <c r="E8" s="2" t="s">
        <v>30</v>
      </c>
      <c r="F8" s="10"/>
      <c r="G8" s="18"/>
    </row>
    <row r="9" spans="1:7" x14ac:dyDescent="0.25">
      <c r="A9" s="4" t="s">
        <v>31</v>
      </c>
      <c r="B9" s="4">
        <v>128</v>
      </c>
      <c r="C9" s="4">
        <v>128</v>
      </c>
      <c r="D9" s="4">
        <v>128</v>
      </c>
      <c r="E9" s="4" t="s">
        <v>32</v>
      </c>
      <c r="F9" s="11"/>
      <c r="G9" s="19" t="s">
        <v>49</v>
      </c>
    </row>
    <row r="10" spans="1:7" x14ac:dyDescent="0.25">
      <c r="A10" s="2" t="s">
        <v>33</v>
      </c>
      <c r="B10" s="2">
        <v>255</v>
      </c>
      <c r="C10" s="2">
        <v>255</v>
      </c>
      <c r="D10" s="2">
        <v>255</v>
      </c>
      <c r="E10" s="2" t="s">
        <v>34</v>
      </c>
      <c r="F10" s="2"/>
      <c r="G10" s="18"/>
    </row>
    <row r="11" spans="1:7" x14ac:dyDescent="0.25">
      <c r="A11" s="4" t="s">
        <v>35</v>
      </c>
      <c r="B11" s="4">
        <v>0</v>
      </c>
      <c r="C11" s="4">
        <v>0</v>
      </c>
      <c r="D11" s="4">
        <v>0</v>
      </c>
      <c r="E11" s="4" t="s">
        <v>36</v>
      </c>
      <c r="F11" s="12"/>
      <c r="G11" s="17"/>
    </row>
    <row r="12" spans="1:7" x14ac:dyDescent="0.25">
      <c r="A12" s="2" t="s">
        <v>37</v>
      </c>
      <c r="B12" s="2">
        <v>0</v>
      </c>
      <c r="C12" s="2">
        <v>176</v>
      </c>
      <c r="D12" s="2">
        <v>240</v>
      </c>
      <c r="E12" s="2" t="s">
        <v>38</v>
      </c>
      <c r="F12" s="13"/>
      <c r="G12" s="19" t="s">
        <v>44</v>
      </c>
    </row>
    <row r="13" spans="1:7" x14ac:dyDescent="0.25">
      <c r="A13" s="4" t="s">
        <v>39</v>
      </c>
      <c r="B13" s="4">
        <v>92</v>
      </c>
      <c r="C13" s="4">
        <v>230</v>
      </c>
      <c r="D13" s="4">
        <v>0</v>
      </c>
      <c r="E13" s="4" t="s">
        <v>40</v>
      </c>
      <c r="F13" s="14"/>
      <c r="G13" s="17"/>
    </row>
    <row r="14" spans="1:7" x14ac:dyDescent="0.25">
      <c r="A14" s="2" t="s">
        <v>41</v>
      </c>
      <c r="B14" s="2">
        <v>255</v>
      </c>
      <c r="C14" s="2">
        <v>102</v>
      </c>
      <c r="D14" s="2">
        <v>153</v>
      </c>
      <c r="E14" s="2" t="s">
        <v>42</v>
      </c>
      <c r="F14" s="15"/>
      <c r="G14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Regras</vt:lpstr>
      <vt:lpstr>Paleta de 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Jathuiel Correa</cp:lastModifiedBy>
  <dcterms:created xsi:type="dcterms:W3CDTF">2026-03-09T15:23:14Z</dcterms:created>
  <dcterms:modified xsi:type="dcterms:W3CDTF">2026-04-14T19:15:35Z</dcterms:modified>
</cp:coreProperties>
</file>